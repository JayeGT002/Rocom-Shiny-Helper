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9880"/>
  </bookViews>
  <sheets>
    <sheet name="Sheet1" sheetId="1" r:id="rId1"/>
    <sheet name="高星光值精灵一览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<sst xmlns="http://schemas.openxmlformats.org/spreadsheetml/2006/main" count="220" uniqueCount="103">
  <si>
    <t>S4赛季异色表</t>
  </si>
  <si>
    <t>S4异色属性池刷取列表</t>
  </si>
  <si>
    <t>精灵名称</t>
  </si>
  <si>
    <t>类别</t>
  </si>
  <si>
    <t>属性1</t>
  </si>
  <si>
    <t>属性2</t>
  </si>
  <si>
    <t>属性</t>
  </si>
  <si>
    <t>命中异色</t>
  </si>
  <si>
    <t>可选刷取精灵</t>
  </si>
  <si>
    <t>赛季奇遇</t>
  </si>
  <si>
    <t>常驻异色</t>
  </si>
  <si>
    <t>章脑丸</t>
  </si>
  <si>
    <t>S4赛季奇遇</t>
  </si>
  <si>
    <t>光</t>
  </si>
  <si>
    <t>水</t>
  </si>
  <si>
    <t>量风碗</t>
  </si>
  <si>
    <t>翼</t>
  </si>
  <si>
    <t>机械</t>
  </si>
  <si>
    <t>幽铃</t>
  </si>
  <si>
    <t>幽</t>
  </si>
  <si>
    <t>未完虫</t>
  </si>
  <si>
    <t>虫</t>
  </si>
  <si>
    <t>恶</t>
  </si>
  <si>
    <t>小浣蛋</t>
  </si>
  <si>
    <t>幻</t>
  </si>
  <si>
    <t>星星眼</t>
  </si>
  <si>
    <t>普通</t>
  </si>
  <si>
    <t>玳龟</t>
  </si>
  <si>
    <t>毒</t>
  </si>
  <si>
    <t>布灵</t>
  </si>
  <si>
    <t>萌</t>
  </si>
  <si>
    <t>小黑猫</t>
  </si>
  <si>
    <t>S4常驻异色</t>
  </si>
  <si>
    <t>刺轮砣</t>
  </si>
  <si>
    <t>觅觅蝠</t>
  </si>
  <si>
    <t>逗逗</t>
  </si>
  <si>
    <t>小灵菇</t>
  </si>
  <si>
    <t>芽眼魔</t>
  </si>
  <si>
    <t>瑰眼仔</t>
  </si>
  <si>
    <t>叮叮卯</t>
  </si>
  <si>
    <t>属性池列表</t>
  </si>
  <si>
    <t>精灵</t>
  </si>
  <si>
    <t>第一属性</t>
  </si>
  <si>
    <t>星光值</t>
  </si>
  <si>
    <t>金币</t>
  </si>
  <si>
    <t>返回值</t>
  </si>
  <si>
    <t>获取方式</t>
  </si>
  <si>
    <t>梦悠悠</t>
  </si>
  <si>
    <t>抓20只最高阶课题领取</t>
  </si>
  <si>
    <t>秩序鱿墨</t>
  </si>
  <si>
    <t>图鉴数量奖励</t>
  </si>
  <si>
    <t>星云旅者</t>
  </si>
  <si>
    <t>锤头鹳</t>
  </si>
  <si>
    <t>高脚鹬</t>
  </si>
  <si>
    <t>怒目怂猫</t>
  </si>
  <si>
    <t>武</t>
  </si>
  <si>
    <t>海豹船长</t>
  </si>
  <si>
    <t>彩蝶鲨</t>
  </si>
  <si>
    <t>龙鱼</t>
  </si>
  <si>
    <t>深蓝鲸</t>
  </si>
  <si>
    <t>公平鸽</t>
  </si>
  <si>
    <t>菊花梨</t>
  </si>
  <si>
    <t>寂灭骨龙</t>
  </si>
  <si>
    <t>龙</t>
  </si>
  <si>
    <t>伊兰亚龙</t>
  </si>
  <si>
    <t>翼龙</t>
  </si>
  <si>
    <t>迷迷箱怪</t>
  </si>
  <si>
    <t>波多西</t>
  </si>
  <si>
    <t>火焰猿</t>
  </si>
  <si>
    <t>火</t>
  </si>
  <si>
    <t>尖嘴狐仙</t>
  </si>
  <si>
    <t>粉耳星兔</t>
  </si>
  <si>
    <t>S1赛季奇遇</t>
  </si>
  <si>
    <t>帅帅魔偶</t>
  </si>
  <si>
    <t>S2赛季奇遇</t>
  </si>
  <si>
    <t>白金独角兽</t>
  </si>
  <si>
    <t>恶魔狼</t>
  </si>
  <si>
    <t>乌拉塔</t>
  </si>
  <si>
    <t>朔夜伊芙</t>
  </si>
  <si>
    <t>裘卡</t>
  </si>
  <si>
    <t>厉毒修萝</t>
  </si>
  <si>
    <t>电球咩咩</t>
  </si>
  <si>
    <t>电</t>
  </si>
  <si>
    <t>星光狮</t>
  </si>
  <si>
    <t>酷拉</t>
  </si>
  <si>
    <t>噼啪鸟</t>
  </si>
  <si>
    <t>罗隐</t>
  </si>
  <si>
    <t>地</t>
  </si>
  <si>
    <t>泥吼牙</t>
  </si>
  <si>
    <t>绒光优优</t>
  </si>
  <si>
    <t>铠甲虫</t>
  </si>
  <si>
    <t>化蝶</t>
  </si>
  <si>
    <t>花衣蝶</t>
  </si>
  <si>
    <t>恶魔红钻</t>
  </si>
  <si>
    <t>芋香巨角蛛</t>
  </si>
  <si>
    <t>奇丽花</t>
  </si>
  <si>
    <t>草</t>
  </si>
  <si>
    <t>蹦蹦花</t>
  </si>
  <si>
    <t>冰钻布鲁斯</t>
  </si>
  <si>
    <t>冰</t>
  </si>
  <si>
    <t>电企鹅</t>
  </si>
  <si>
    <t>圣代甜甜</t>
  </si>
  <si>
    <t>月牙雪熊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</si>
</sst>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rgb="FF000000"/>
      <name val="苹方"/>
      <charset val="134"/>
    </font>
    <font>
      <sz val="10"/>
      <color rgb="FF000000"/>
      <name val="苹方"/>
      <charset val="134"/>
    </font>
    <font>
      <sz val="11"/>
      <color theme="1"/>
      <name val="苹方"/>
      <charset val="134"/>
    </font>
    <font>
      <b/>
      <sz val="12"/>
      <color theme="1"/>
      <name val="苹方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iki.biligame.com/rocom/%E5%8F%AE%E5%8F%AE%E5%8D%A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tabSelected="1" workbookViewId="0">
      <selection activeCell="A12" sqref="A12"/>
    </sheetView>
  </sheetViews>
  <sheetFormatPr defaultColWidth="9.23076923076923" defaultRowHeight="16.8"/>
  <cols>
    <col min="1" max="1" width="24.6826923076923" style="3" customWidth="1"/>
    <col min="2" max="2" width="16.1826923076923" style="3" customWidth="1"/>
    <col min="3" max="4" width="9.23076923076923" style="3"/>
    <col min="5" max="5" width="8.16346153846154" style="3" customWidth="1"/>
    <col min="6" max="6" width="6.15384615384615" style="3" customWidth="1"/>
    <col min="7" max="7" width="10.4615384615385" style="3" customWidth="1"/>
    <col min="8" max="8" width="62.2307692307692" style="3" customWidth="1"/>
    <col min="9" max="10" width="23.2307692307692" style="3" customWidth="1"/>
    <col min="11" max="11" width="10.4134615384615" style="3" customWidth="1"/>
    <col min="12" max="16384" width="9.23076923076923" style="3"/>
  </cols>
  <sheetData>
    <row r="1" ht="17" customHeight="1" spans="1:11">
      <c r="A1" s="4" t="s">
        <v>0</v>
      </c>
      <c r="B1" s="4"/>
      <c r="C1" s="4"/>
      <c r="D1" s="4"/>
      <c r="F1" s="4" t="s">
        <v>1</v>
      </c>
      <c r="G1" s="4"/>
      <c r="H1" s="4"/>
      <c r="I1" s="4"/>
      <c r="J1" s="4"/>
      <c r="K1" s="5"/>
    </row>
    <row r="2" spans="1:11">
      <c r="A2" s="6" t="s">
        <v>2</v>
      </c>
      <c r="B2" s="6" t="s">
        <v>3</v>
      </c>
      <c r="C2" s="6" t="s">
        <v>4</v>
      </c>
      <c r="D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</row>
    <row r="3" spans="1:11">
      <c r="A3" s="6" t="s">
        <v>11</v>
      </c>
      <c r="B3" s="6" t="s">
        <v>12</v>
      </c>
      <c r="C3" s="6" t="s">
        <v>13</v>
      </c>
      <c r="D3" s="6" t="s">
        <v>14</v>
      </c>
      <c r="F3" s="6" t="s">
        <v>13</v>
      </c>
      <c r="G3" s="6">
        <f>COUNTIF(C:C,F3)+COUNTIF(D:D,F3)</f>
        <v>2</v>
      </c>
      <c r="H3" s="6" t="str" cm="1">
        <f t="array" ref="H3">_xlfn.TEXTJOIN(", ",TRUE,_xlfn._xlws.FILTER(高星光值精灵一览!E:E,高星光值精灵一览!B:B=F3))</f>
        <v>白金独角兽60</v>
      </c>
      <c r="I3" s="6" t="str" cm="1">
        <f t="array" ref="I3">IFERROR(_xlfn.TEXTJOIN("、",TRUE,_xlfn._xlws.FILTER($A$2:$A$100,(($C$2:$C$100=F3)+($D$2:$D$100=F3))*($B$2:$B$100="S4赛季奇遇"))),"")</f>
        <v>章脑丸、布灵</v>
      </c>
      <c r="J3" s="6" t="str" cm="1">
        <f t="array" ref="J3">IFERROR(_xlfn.TEXTJOIN("、",TRUE,_xlfn._xlws.FILTER($A$2:$A$100,(($C$2:$C$100=F3)+($D$2:$D$100=F3))*($B$2:$B$100="S4常驻异色"))),"")</f>
        <v/>
      </c>
    </row>
    <row r="4" spans="1:11">
      <c r="A4" s="6" t="s">
        <v>15</v>
      </c>
      <c r="B4" s="6" t="s">
        <v>12</v>
      </c>
      <c r="C4" s="6" t="s">
        <v>16</v>
      </c>
      <c r="D4" s="6" t="s">
        <v>17</v>
      </c>
      <c r="F4" s="6" t="s">
        <v>16</v>
      </c>
      <c r="G4" s="6">
        <f t="shared" ref="G4:G13" si="0">COUNTIF(C:C,F4)+COUNTIF(D:D,F4)</f>
        <v>2</v>
      </c>
      <c r="H4" s="6" t="str" cm="1">
        <f t="array" ref="H4">_xlfn.TEXTJOIN(", ",TRUE,_xlfn._xlws.FILTER(高星光值精灵一览!E:E,高星光值精灵一览!B:B=F4))</f>
        <v>星云旅者80, 锤头鹳60, 高脚鹬60</v>
      </c>
      <c r="I4" s="6" t="str" cm="1">
        <f t="array" ref="I4">IFERROR(_xlfn.TEXTJOIN("、",TRUE,_xlfn._xlws.FILTER($A$2:$A$100,(($C$2:$C$100=F4)+($D$2:$D$100=F4))*($B$2:$B$100="S4赛季奇遇"))),"")</f>
        <v>量风碗</v>
      </c>
      <c r="J4" s="6" t="str" cm="1">
        <f t="array" ref="J4">IFERROR(_xlfn.TEXTJOIN("、",TRUE,_xlfn._xlws.FILTER($A$2:$A$100,(($C$2:$C$100=F4)+($D$2:$D$100=F4))*($B$2:$B$100="S4常驻异色"))),"")</f>
        <v>觅觅蝠</v>
      </c>
    </row>
    <row r="5" spans="1:11">
      <c r="A5" s="6" t="s">
        <v>18</v>
      </c>
      <c r="B5" s="6" t="s">
        <v>12</v>
      </c>
      <c r="C5" s="6" t="s">
        <v>19</v>
      </c>
      <c r="D5" s="6"/>
      <c r="F5" s="6" t="s">
        <v>19</v>
      </c>
      <c r="G5" s="6">
        <f t="shared" si="0"/>
        <v>3</v>
      </c>
      <c r="H5" s="6" t="str" cm="1">
        <f t="array" ref="H5">_xlfn.TEXTJOIN(", ",TRUE,_xlfn._xlws.FILTER(高星光值精灵一览!E:E,高星光值精灵一览!B:B=F5))</f>
        <v>梦悠悠60, 秩序鱿墨60</v>
      </c>
      <c r="I5" s="6" t="str" cm="1">
        <f t="array" ref="I5">IFERROR(_xlfn.TEXTJOIN("、",TRUE,_xlfn._xlws.FILTER($A$2:$A$100,(($C$2:$C$100=F5)+($D$2:$D$100=F5))*($B$2:$B$100="S4赛季奇遇"))),"")</f>
        <v>幽铃、未完虫</v>
      </c>
      <c r="J5" s="6" t="str" cm="1">
        <f t="array" ref="J5">IFERROR(_xlfn.TEXTJOIN("、",TRUE,_xlfn._xlws.FILTER($A$2:$A$100,(($C$2:$C$100=F5)+($D$2:$D$100=F5))*($B$2:$B$100="S4常驻异色"))),"")</f>
        <v>小灵菇</v>
      </c>
    </row>
    <row r="6" spans="1:11">
      <c r="A6" s="6" t="s">
        <v>20</v>
      </c>
      <c r="B6" s="6" t="s">
        <v>12</v>
      </c>
      <c r="C6" s="6" t="s">
        <v>19</v>
      </c>
      <c r="D6" s="6" t="s">
        <v>21</v>
      </c>
      <c r="F6" s="6" t="s">
        <v>22</v>
      </c>
      <c r="G6" s="6">
        <f t="shared" si="0"/>
        <v>3</v>
      </c>
      <c r="H6" s="6" t="str" cm="1">
        <f t="array" ref="H6">_xlfn.TEXTJOIN(", ",TRUE,_xlfn._xlws.FILTER(高星光值精灵一览!E:E,高星光值精灵一览!B:B=F6))</f>
        <v>恶魔狼80, 乌拉塔60, 朔夜伊芙80</v>
      </c>
      <c r="I6" s="6" t="str" cm="1">
        <f t="array" ref="I6">IFERROR(_xlfn.TEXTJOIN("、",TRUE,_xlfn._xlws.FILTER($A$2:$A$100,(($C$2:$C$100=F6)+($D$2:$D$100=F6))*($B$2:$B$100="S4赛季奇遇"))),"")</f>
        <v>小浣蛋</v>
      </c>
      <c r="J6" s="6" t="str" cm="1">
        <f t="array" ref="J6">IFERROR(_xlfn.TEXTJOIN("、",TRUE,_xlfn._xlws.FILTER($A$2:$A$100,(($C$2:$C$100=F6)+($D$2:$D$100=F6))*($B$2:$B$100="S4常驻异色"))),"")</f>
        <v>芽眼魔、瑰眼仔</v>
      </c>
    </row>
    <row r="7" spans="1:11">
      <c r="A7" s="6" t="s">
        <v>23</v>
      </c>
      <c r="B7" s="6" t="s">
        <v>12</v>
      </c>
      <c r="C7" s="6" t="s">
        <v>22</v>
      </c>
      <c r="D7" s="6"/>
      <c r="F7" s="6" t="s">
        <v>24</v>
      </c>
      <c r="G7" s="6">
        <f t="shared" si="0"/>
        <v>3</v>
      </c>
      <c r="H7" s="6" t="str" cm="1">
        <f t="array" ref="H7">_xlfn.TEXTJOIN(", ",TRUE,_xlfn._xlws.FILTER(高星光值精灵一览!E:E,高星光值精灵一览!B:B=F7))</f>
        <v>粉耳星兔80, 帅帅魔偶60</v>
      </c>
      <c r="I7" s="6" t="str" cm="1">
        <f t="array" ref="I7">IFERROR(_xlfn.TEXTJOIN("、",TRUE,_xlfn._xlws.FILTER($A$2:$A$100,(($C$2:$C$100=F7)+($D$2:$D$100=F7))*($B$2:$B$100="S4赛季奇遇"))),"")</f>
        <v>星星眼、玳龟、布灵</v>
      </c>
      <c r="J7" s="6" t="str" cm="1">
        <f t="array" ref="J7">IFERROR(_xlfn.TEXTJOIN("、",TRUE,_xlfn._xlws.FILTER($A$2:$A$100,(($C$2:$C$100=F7)+($D$2:$D$100=F7))*($B$2:$B$100="S4常驻异色"))),"")</f>
        <v/>
      </c>
    </row>
    <row r="8" spans="1:11">
      <c r="A8" s="6" t="s">
        <v>25</v>
      </c>
      <c r="B8" s="6" t="s">
        <v>12</v>
      </c>
      <c r="C8" s="6" t="s">
        <v>24</v>
      </c>
      <c r="D8" s="6"/>
      <c r="F8" s="7" t="s">
        <v>26</v>
      </c>
      <c r="G8" s="7">
        <f t="shared" si="0"/>
        <v>1</v>
      </c>
      <c r="H8" s="7" t="str" cm="1">
        <f t="array" ref="H8">_xlfn.TEXTJOIN(", ",TRUE,_xlfn._xlws.FILTER(高星光值精灵一览!E:E,高星光值精灵一览!B:B=F8))</f>
        <v>公平鸽56</v>
      </c>
      <c r="I8" s="7" t="str" cm="1">
        <f t="array" ref="I8">IFERROR(_xlfn.TEXTJOIN("、",TRUE,_xlfn._xlws.FILTER($A$2:$A$100,(($C$2:$C$100=F8)+($D$2:$D$100=F8))*($B$2:$B$100="S4赛季奇遇"))),"")</f>
        <v/>
      </c>
      <c r="J8" s="7" t="str" cm="1">
        <f t="array" ref="J8">IFERROR(_xlfn.TEXTJOIN("、",TRUE,_xlfn._xlws.FILTER($A$2:$A$100,(($C$2:$C$100=F8)+($D$2:$D$100=F8))*($B$2:$B$100="S4常驻异色"))),"")</f>
        <v>小黑猫</v>
      </c>
    </row>
    <row r="9" spans="1:11">
      <c r="A9" s="6" t="s">
        <v>27</v>
      </c>
      <c r="B9" s="6" t="s">
        <v>12</v>
      </c>
      <c r="C9" s="6" t="s">
        <v>24</v>
      </c>
      <c r="D9" s="6"/>
      <c r="F9" s="6" t="s">
        <v>28</v>
      </c>
      <c r="G9" s="6">
        <f t="shared" si="0"/>
        <v>1</v>
      </c>
      <c r="H9" s="6" t="str" cm="1">
        <f t="array" ref="H9">_xlfn.TEXTJOIN(", ",TRUE,_xlfn._xlws.FILTER(高星光值精灵一览!E:E,高星光值精灵一览!B:B=F9))</f>
        <v>裘卡60, 厉毒修萝60</v>
      </c>
      <c r="I9" s="6" t="str" cm="1">
        <f t="array" ref="I9">IFERROR(_xlfn.TEXTJOIN("、",TRUE,_xlfn._xlws.FILTER($A$2:$A$100,(($C$2:$C$100=F9)+($D$2:$D$100=F9))*($B$2:$B$100="S4赛季奇遇"))),"")</f>
        <v/>
      </c>
      <c r="J9" s="6" t="str" cm="1">
        <f t="array" ref="J9">IFERROR(_xlfn.TEXTJOIN("、",TRUE,_xlfn._xlws.FILTER($A$2:$A$100,(($C$2:$C$100=F9)+($D$2:$D$100=F9))*($B$2:$B$100="S4常驻异色"))),"")</f>
        <v>刺轮砣</v>
      </c>
    </row>
    <row r="10" spans="1:11">
      <c r="A10" s="6" t="s">
        <v>29</v>
      </c>
      <c r="B10" s="6" t="s">
        <v>12</v>
      </c>
      <c r="C10" s="6" t="s">
        <v>24</v>
      </c>
      <c r="D10" s="6" t="s">
        <v>13</v>
      </c>
      <c r="F10" s="6" t="s">
        <v>30</v>
      </c>
      <c r="G10" s="6">
        <f t="shared" si="0"/>
        <v>2</v>
      </c>
      <c r="H10" s="6" t="str" cm="1">
        <f t="array" ref="H10">_xlfn.TEXTJOIN(", ",TRUE,_xlfn._xlws.FILTER(高星光值精灵一览!E:E,高星光值精灵一览!B:B=F10))</f>
        <v>菊花梨56</v>
      </c>
      <c r="I10" s="6" t="str" cm="1">
        <f t="array" ref="I10">IFERROR(_xlfn.TEXTJOIN("、",TRUE,_xlfn._xlws.FILTER($A$2:$A$100,(($C$2:$C$100=F10)+($D$2:$D$100=F10))*($B$2:$B$100="S4赛季奇遇"))),"")</f>
        <v/>
      </c>
      <c r="J10" s="6" t="str" cm="1">
        <f t="array" ref="J10">IFERROR(_xlfn.TEXTJOIN("、",TRUE,_xlfn._xlws.FILTER($A$2:$A$100,(($C$2:$C$100=F10)+($D$2:$D$100=F10))*($B$2:$B$100="S4常驻异色"))),"")</f>
        <v>刺轮砣、逗逗</v>
      </c>
    </row>
    <row r="11" spans="1:11">
      <c r="A11" s="6" t="s">
        <v>31</v>
      </c>
      <c r="B11" s="6" t="s">
        <v>32</v>
      </c>
      <c r="C11" s="6" t="s">
        <v>26</v>
      </c>
      <c r="D11" s="6"/>
      <c r="F11" s="6" t="s">
        <v>17</v>
      </c>
      <c r="G11" s="6">
        <f t="shared" si="0"/>
        <v>2</v>
      </c>
      <c r="H11" s="6" t="str" cm="1">
        <f t="array" ref="H11">_xlfn.TEXTJOIN(", ",TRUE,_xlfn._xlws.FILTER(高星光值精灵一览!E:E,高星光值精灵一览!B:B=F11))</f>
        <v>迷迷箱怪80, 波多西80</v>
      </c>
      <c r="I11" s="6" t="str" cm="1">
        <f t="array" ref="I11">IFERROR(_xlfn.TEXTJOIN("、",TRUE,_xlfn._xlws.FILTER($A$2:$A$100,(($C$2:$C$100=F11)+($D$2:$D$100=F11))*($B$2:$B$100="S4赛季奇遇"))),"")</f>
        <v>量风碗</v>
      </c>
      <c r="J11" s="6" t="str" cm="1">
        <f t="array" ref="J11">IFERROR(_xlfn.TEXTJOIN("、",TRUE,_xlfn._xlws.FILTER($A$2:$A$100,(($C$2:$C$100=F11)+($D$2:$D$100=F11))*($B$2:$B$100="S4常驻异色"))),"")</f>
        <v>叮叮卯</v>
      </c>
    </row>
    <row r="12" spans="1:11">
      <c r="A12" s="6" t="s">
        <v>33</v>
      </c>
      <c r="B12" s="6" t="s">
        <v>32</v>
      </c>
      <c r="C12" s="6" t="s">
        <v>28</v>
      </c>
      <c r="D12" s="6" t="s">
        <v>30</v>
      </c>
      <c r="F12" s="6" t="s">
        <v>14</v>
      </c>
      <c r="G12" s="6">
        <f t="shared" si="0"/>
        <v>2</v>
      </c>
      <c r="H12" s="6" t="str" cm="1">
        <f t="array" ref="H12">_xlfn.TEXTJOIN(", ",TRUE,_xlfn._xlws.FILTER(高星光值精灵一览!E:E,高星光值精灵一览!B:B=F12))</f>
        <v>彩蝶鲨60, 龙鱼60, 深蓝鲸60</v>
      </c>
      <c r="I12" s="6" t="str" cm="1">
        <f t="array" ref="I12">IFERROR(_xlfn.TEXTJOIN("、",TRUE,_xlfn._xlws.FILTER($A$2:$A$100,(($C$2:$C$100=F12)+($D$2:$D$100=F12))*($B$2:$B$100="S4赛季奇遇"))),"")</f>
        <v>章脑丸</v>
      </c>
      <c r="J12" s="6" t="str" cm="1">
        <f t="array" ref="J12">IFERROR(_xlfn.TEXTJOIN("、",TRUE,_xlfn._xlws.FILTER($A$2:$A$100,(($C$2:$C$100=F12)+($D$2:$D$100=F12))*($B$2:$B$100="S4常驻异色"))),"")</f>
        <v>芽眼魔</v>
      </c>
    </row>
    <row r="13" spans="1:11">
      <c r="A13" s="6" t="s">
        <v>34</v>
      </c>
      <c r="B13" s="6" t="s">
        <v>32</v>
      </c>
      <c r="C13" s="6" t="s">
        <v>16</v>
      </c>
      <c r="D13" s="6"/>
      <c r="F13" s="6" t="s">
        <v>21</v>
      </c>
      <c r="G13" s="6">
        <f t="shared" si="0"/>
        <v>3</v>
      </c>
      <c r="H13" s="6" t="str" cm="1">
        <f t="array" ref="H13">_xlfn.TEXTJOIN(", ",TRUE,_xlfn._xlws.FILTER(高星光值精灵一览!E:E,高星光值精灵一览!B:B=F13))</f>
        <v>铠甲虫60, 化蝶60, 花衣蝶60, 恶魔红钻60, 芋香巨角蛛60</v>
      </c>
      <c r="I13" s="6" t="str" cm="1">
        <f t="array" ref="I13">IFERROR(_xlfn.TEXTJOIN("、",TRUE,_xlfn._xlws.FILTER($A$2:$A$100,(($C$2:$C$100=F13)+($D$2:$D$100=F13))*($B$2:$B$100="S4赛季奇遇"))),"")</f>
        <v>未完虫</v>
      </c>
      <c r="J13" s="6" t="str" cm="1">
        <f t="array" ref="J13">IFERROR(_xlfn.TEXTJOIN("、",TRUE,_xlfn._xlws.FILTER($A$2:$A$100,(($C$2:$C$100=F13)+($D$2:$D$100=F13))*($B$2:$B$100="S4常驻异色"))),"")</f>
        <v>瑰眼仔、叮叮卯</v>
      </c>
    </row>
    <row r="14" spans="1:11">
      <c r="A14" s="6" t="s">
        <v>35</v>
      </c>
      <c r="B14" s="6" t="s">
        <v>32</v>
      </c>
      <c r="C14" s="6" t="s">
        <v>30</v>
      </c>
      <c r="D14" s="6"/>
    </row>
    <row r="15" spans="1:11">
      <c r="A15" s="6" t="s">
        <v>36</v>
      </c>
      <c r="B15" s="6" t="s">
        <v>32</v>
      </c>
      <c r="C15" s="6" t="s">
        <v>19</v>
      </c>
      <c r="D15" s="6"/>
    </row>
    <row r="16" spans="1:11">
      <c r="A16" s="6" t="s">
        <v>37</v>
      </c>
      <c r="B16" s="6" t="s">
        <v>32</v>
      </c>
      <c r="C16" s="6" t="s">
        <v>22</v>
      </c>
      <c r="D16" s="6" t="s">
        <v>14</v>
      </c>
    </row>
    <row r="17" spans="1:4">
      <c r="A17" s="6" t="s">
        <v>38</v>
      </c>
      <c r="B17" s="6" t="s">
        <v>32</v>
      </c>
      <c r="C17" s="6" t="s">
        <v>22</v>
      </c>
      <c r="D17" s="6" t="s">
        <v>21</v>
      </c>
    </row>
    <row r="18" spans="1:4">
      <c r="A18" s="6" t="s">
        <v>39</v>
      </c>
      <c r="B18" s="6" t="s">
        <v>32</v>
      </c>
      <c r="C18" s="6" t="s">
        <v>17</v>
      </c>
      <c r="D18" s="6" t="s">
        <v>21</v>
      </c>
    </row>
    <row r="21" spans="1:4">
      <c r="C21"/>
    </row>
    <row r="22" spans="1:4">
      <c r="C22"/>
    </row>
    <row r="23" spans="1:4">
      <c r="C23"/>
    </row>
    <row r="24" spans="1:4">
      <c r="C24"/>
    </row>
    <row r="25" spans="1:4">
      <c r="C25"/>
    </row>
    <row r="26" spans="1:4">
      <c r="C26"/>
    </row>
    <row r="27" spans="1:4">
      <c r="C27"/>
    </row>
    <row r="28" spans="1:4">
      <c r="C28"/>
    </row>
  </sheetData>
  <mergeCells count="2">
    <mergeCell ref="A1:D1"/>
    <mergeCell ref="F1:J1"/>
  </mergeCells>
  <hyperlinks>
    <hyperlink ref="A18" r:id="rId1" display="叮叮卯" tooltip="https://wiki.biligame.com/rocom/%E5%8F%AE%E5%8F%AE%E5%8D%AF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workbookViewId="0">
      <selection activeCell="E27" sqref="E27"/>
    </sheetView>
  </sheetViews>
  <sheetFormatPr defaultColWidth="9.23076923076923" defaultRowHeight="16.8" outlineLevelCol="5"/>
  <cols>
    <col min="1" max="1" width="14.5769230769231" customWidth="1"/>
    <col min="2" max="2" width="9.23076923076923" customWidth="1"/>
    <col min="3" max="3" width="8.00961538461539" customWidth="1"/>
    <col min="4" max="4" width="13.7788461538462" customWidth="1"/>
    <col min="5" max="5" width="23.3942307692308" customWidth="1"/>
    <col min="6" max="6" width="22" customWidth="1"/>
  </cols>
  <sheetData>
    <row r="1" ht="20.4" customHeight="1" spans="1:6">
      <c r="A1" s="1" t="s">
        <v>40</v>
      </c>
      <c r="B1" s="1"/>
      <c r="C1" s="1"/>
      <c r="D1" s="1"/>
      <c r="E1" s="1"/>
      <c r="F1" s="1"/>
    </row>
    <row r="2" spans="1:6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</row>
    <row r="3" spans="1:6">
      <c r="A3" s="2" t="s">
        <v>47</v>
      </c>
      <c r="B3" s="2" t="s">
        <v>19</v>
      </c>
      <c r="C3" s="2">
        <v>60</v>
      </c>
      <c r="D3" s="2">
        <v>4500</v>
      </c>
      <c r="E3" s="2" t="str">
        <f t="shared" ref="E3:E14" si="0">A3&amp;C3</f>
        <v>梦悠悠60</v>
      </c>
      <c r="F3" s="2" t="s">
        <v>48</v>
      </c>
    </row>
    <row r="4" spans="1:6">
      <c r="A4" s="2" t="s">
        <v>49</v>
      </c>
      <c r="B4" s="2" t="s">
        <v>19</v>
      </c>
      <c r="C4" s="2">
        <v>60</v>
      </c>
      <c r="D4" s="2">
        <v>4500</v>
      </c>
      <c r="E4" s="2" t="str">
        <f t="shared" si="0"/>
        <v>秩序鱿墨60</v>
      </c>
      <c r="F4" s="2" t="s">
        <v>50</v>
      </c>
    </row>
    <row r="5" spans="1:6">
      <c r="A5" s="2" t="s">
        <v>51</v>
      </c>
      <c r="B5" s="2" t="s">
        <v>16</v>
      </c>
      <c r="C5" s="2">
        <v>80</v>
      </c>
      <c r="D5" s="2">
        <v>6000</v>
      </c>
      <c r="E5" s="2" t="str">
        <f t="shared" si="0"/>
        <v>星云旅者80</v>
      </c>
      <c r="F5" s="2" t="s">
        <v>48</v>
      </c>
    </row>
    <row r="6" spans="1:6">
      <c r="A6" s="2" t="s">
        <v>52</v>
      </c>
      <c r="B6" s="2" t="s">
        <v>16</v>
      </c>
      <c r="C6" s="2">
        <v>60</v>
      </c>
      <c r="D6" s="2">
        <v>4500</v>
      </c>
      <c r="E6" s="2" t="str">
        <f t="shared" si="0"/>
        <v>锤头鹳60</v>
      </c>
      <c r="F6" s="2" t="s">
        <v>48</v>
      </c>
    </row>
    <row r="7" spans="1:6">
      <c r="A7" s="2" t="s">
        <v>53</v>
      </c>
      <c r="B7" s="2" t="s">
        <v>16</v>
      </c>
      <c r="C7" s="2">
        <v>60</v>
      </c>
      <c r="D7" s="2">
        <v>4500</v>
      </c>
      <c r="E7" s="2" t="str">
        <f t="shared" si="0"/>
        <v>高脚鹬60</v>
      </c>
      <c r="F7" s="2" t="s">
        <v>48</v>
      </c>
    </row>
    <row r="8" spans="1:6">
      <c r="A8" s="2" t="s">
        <v>54</v>
      </c>
      <c r="B8" s="2" t="s">
        <v>55</v>
      </c>
      <c r="C8" s="2">
        <v>40</v>
      </c>
      <c r="D8" s="2">
        <v>3000</v>
      </c>
      <c r="E8" s="2" t="str">
        <f t="shared" si="0"/>
        <v>怒目怂猫40</v>
      </c>
      <c r="F8" s="2" t="s">
        <v>48</v>
      </c>
    </row>
    <row r="9" spans="1:6">
      <c r="A9" s="2" t="s">
        <v>56</v>
      </c>
      <c r="B9" s="2" t="s">
        <v>55</v>
      </c>
      <c r="C9" s="2">
        <v>40</v>
      </c>
      <c r="D9" s="2">
        <v>3000</v>
      </c>
      <c r="E9" s="2" t="str">
        <f t="shared" si="0"/>
        <v>海豹船长40</v>
      </c>
      <c r="F9" s="2" t="s">
        <v>48</v>
      </c>
    </row>
    <row r="10" spans="1:6">
      <c r="A10" s="2" t="s">
        <v>57</v>
      </c>
      <c r="B10" s="2" t="s">
        <v>14</v>
      </c>
      <c r="C10" s="2">
        <v>60</v>
      </c>
      <c r="D10" s="2">
        <v>4500</v>
      </c>
      <c r="E10" s="2" t="str">
        <f t="shared" si="0"/>
        <v>彩蝶鲨60</v>
      </c>
      <c r="F10" s="2" t="s">
        <v>48</v>
      </c>
    </row>
    <row r="11" spans="1:6">
      <c r="A11" s="2" t="s">
        <v>58</v>
      </c>
      <c r="B11" s="2" t="s">
        <v>14</v>
      </c>
      <c r="C11" s="2">
        <v>60</v>
      </c>
      <c r="D11" s="2">
        <v>4500</v>
      </c>
      <c r="E11" s="2" t="str">
        <f t="shared" si="0"/>
        <v>龙鱼60</v>
      </c>
      <c r="F11" s="2" t="s">
        <v>48</v>
      </c>
    </row>
    <row r="12" spans="1:6">
      <c r="A12" s="2" t="s">
        <v>59</v>
      </c>
      <c r="B12" s="2" t="s">
        <v>14</v>
      </c>
      <c r="C12" s="2">
        <v>60</v>
      </c>
      <c r="D12" s="2">
        <v>4500</v>
      </c>
      <c r="E12" s="2" t="str">
        <f t="shared" si="0"/>
        <v>深蓝鲸60</v>
      </c>
      <c r="F12" s="2" t="s">
        <v>50</v>
      </c>
    </row>
    <row r="13" spans="1:6">
      <c r="A13" s="2" t="s">
        <v>60</v>
      </c>
      <c r="B13" s="2" t="s">
        <v>26</v>
      </c>
      <c r="C13" s="2">
        <v>56</v>
      </c>
      <c r="D13" s="2">
        <v>4200</v>
      </c>
      <c r="E13" s="2" t="str">
        <f t="shared" si="0"/>
        <v>公平鸽56</v>
      </c>
      <c r="F13" s="2" t="s">
        <v>48</v>
      </c>
    </row>
    <row r="14" spans="1:6">
      <c r="A14" s="2" t="s">
        <v>61</v>
      </c>
      <c r="B14" s="2" t="s">
        <v>30</v>
      </c>
      <c r="C14" s="2">
        <v>56</v>
      </c>
      <c r="D14" s="2">
        <v>4200</v>
      </c>
      <c r="E14" s="2" t="str">
        <f t="shared" si="0"/>
        <v>菊花梨56</v>
      </c>
      <c r="F14" s="2" t="s">
        <v>48</v>
      </c>
    </row>
    <row r="15" spans="1:6">
      <c r="A15" s="2" t="s">
        <v>62</v>
      </c>
      <c r="B15" s="2" t="s">
        <v>63</v>
      </c>
      <c r="C15" s="2">
        <v>80</v>
      </c>
      <c r="D15" s="2">
        <v>6000</v>
      </c>
      <c r="E15" s="2" t="str">
        <f t="shared" ref="E15:E40" si="1">A15&amp;C15</f>
        <v>寂灭骨龙80</v>
      </c>
      <c r="F15" s="2" t="s">
        <v>48</v>
      </c>
    </row>
    <row r="16" spans="1:6">
      <c r="A16" s="2" t="s">
        <v>64</v>
      </c>
      <c r="B16" s="2" t="s">
        <v>63</v>
      </c>
      <c r="C16" s="2">
        <v>60</v>
      </c>
      <c r="D16" s="2">
        <v>4500</v>
      </c>
      <c r="E16" s="2" t="str">
        <f t="shared" si="1"/>
        <v>伊兰亚龙60</v>
      </c>
      <c r="F16" s="2" t="s">
        <v>50</v>
      </c>
    </row>
    <row r="17" spans="1:6">
      <c r="A17" s="2" t="s">
        <v>65</v>
      </c>
      <c r="B17" s="2" t="s">
        <v>63</v>
      </c>
      <c r="C17" s="2">
        <v>60</v>
      </c>
      <c r="D17" s="2">
        <v>4500</v>
      </c>
      <c r="E17" s="2" t="str">
        <f t="shared" si="1"/>
        <v>翼龙60</v>
      </c>
      <c r="F17" s="2" t="s">
        <v>50</v>
      </c>
    </row>
    <row r="18" spans="1:6">
      <c r="A18" s="2" t="s">
        <v>66</v>
      </c>
      <c r="B18" s="2" t="s">
        <v>17</v>
      </c>
      <c r="C18" s="2">
        <v>80</v>
      </c>
      <c r="D18" s="2">
        <v>6000</v>
      </c>
      <c r="E18" s="2" t="str">
        <f t="shared" si="1"/>
        <v>迷迷箱怪80</v>
      </c>
      <c r="F18" s="2" t="s">
        <v>50</v>
      </c>
    </row>
    <row r="19" spans="1:6">
      <c r="A19" s="2" t="s">
        <v>67</v>
      </c>
      <c r="B19" s="2" t="s">
        <v>17</v>
      </c>
      <c r="C19" s="2">
        <v>80</v>
      </c>
      <c r="D19" s="2">
        <v>6000</v>
      </c>
      <c r="E19" s="2" t="str">
        <f t="shared" si="1"/>
        <v>波多西80</v>
      </c>
      <c r="F19" s="2" t="s">
        <v>50</v>
      </c>
    </row>
    <row r="20" spans="1:6">
      <c r="A20" s="2" t="s">
        <v>68</v>
      </c>
      <c r="B20" s="2" t="s">
        <v>69</v>
      </c>
      <c r="C20" s="2">
        <v>80</v>
      </c>
      <c r="D20" s="2">
        <v>6000</v>
      </c>
      <c r="E20" s="2" t="str">
        <f t="shared" si="1"/>
        <v>火焰猿80</v>
      </c>
      <c r="F20" s="2" t="s">
        <v>50</v>
      </c>
    </row>
    <row r="21" spans="1:6">
      <c r="A21" s="2" t="s">
        <v>70</v>
      </c>
      <c r="B21" s="2" t="s">
        <v>69</v>
      </c>
      <c r="C21" s="2">
        <v>80</v>
      </c>
      <c r="D21" s="2">
        <v>6000</v>
      </c>
      <c r="E21" s="2" t="str">
        <f t="shared" si="1"/>
        <v>尖嘴狐仙80</v>
      </c>
      <c r="F21" s="2" t="s">
        <v>48</v>
      </c>
    </row>
    <row r="22" spans="1:6">
      <c r="A22" s="2" t="s">
        <v>71</v>
      </c>
      <c r="B22" s="2" t="s">
        <v>24</v>
      </c>
      <c r="C22" s="2">
        <v>80</v>
      </c>
      <c r="D22" s="2">
        <v>6000</v>
      </c>
      <c r="E22" s="2" t="str">
        <f t="shared" si="1"/>
        <v>粉耳星兔80</v>
      </c>
      <c r="F22" s="2" t="s">
        <v>72</v>
      </c>
    </row>
    <row r="23" spans="1:6">
      <c r="A23" s="2" t="s">
        <v>73</v>
      </c>
      <c r="B23" s="2" t="s">
        <v>24</v>
      </c>
      <c r="C23" s="2">
        <v>60</v>
      </c>
      <c r="D23" s="2">
        <v>4500</v>
      </c>
      <c r="E23" s="2" t="str">
        <f t="shared" si="1"/>
        <v>帅帅魔偶60</v>
      </c>
      <c r="F23" s="2" t="s">
        <v>74</v>
      </c>
    </row>
    <row r="24" spans="1:6">
      <c r="A24" s="2" t="s">
        <v>75</v>
      </c>
      <c r="B24" s="2" t="s">
        <v>13</v>
      </c>
      <c r="C24" s="2">
        <v>60</v>
      </c>
      <c r="D24" s="2">
        <v>4500</v>
      </c>
      <c r="E24" s="2" t="str">
        <f t="shared" si="1"/>
        <v>白金独角兽60</v>
      </c>
      <c r="F24" s="2" t="s">
        <v>48</v>
      </c>
    </row>
    <row r="25" spans="1:6">
      <c r="A25" s="2" t="s">
        <v>76</v>
      </c>
      <c r="B25" s="2" t="s">
        <v>22</v>
      </c>
      <c r="C25" s="2">
        <v>80</v>
      </c>
      <c r="D25" s="2">
        <v>6000</v>
      </c>
      <c r="E25" s="2" t="str">
        <f t="shared" si="1"/>
        <v>恶魔狼80</v>
      </c>
      <c r="F25" s="2" t="s">
        <v>48</v>
      </c>
    </row>
    <row r="26" spans="1:6">
      <c r="A26" s="2" t="s">
        <v>77</v>
      </c>
      <c r="B26" s="2" t="s">
        <v>22</v>
      </c>
      <c r="C26" s="2">
        <v>60</v>
      </c>
      <c r="D26" s="2">
        <v>4500</v>
      </c>
      <c r="E26" s="2" t="str">
        <f t="shared" si="1"/>
        <v>乌拉塔60</v>
      </c>
      <c r="F26" s="2" t="s">
        <v>48</v>
      </c>
    </row>
    <row r="27" spans="1:6">
      <c r="A27" s="2" t="s">
        <v>78</v>
      </c>
      <c r="B27" s="2" t="s">
        <v>22</v>
      </c>
      <c r="C27" s="2">
        <v>80</v>
      </c>
      <c r="D27" s="2">
        <v>6000</v>
      </c>
      <c r="E27" s="2" t="str">
        <f t="shared" si="1"/>
        <v>朔夜伊芙80</v>
      </c>
      <c r="F27" s="2" t="s">
        <v>48</v>
      </c>
    </row>
    <row r="28" spans="1:6">
      <c r="A28" s="2" t="s">
        <v>79</v>
      </c>
      <c r="B28" s="2" t="s">
        <v>28</v>
      </c>
      <c r="C28" s="2">
        <v>60</v>
      </c>
      <c r="D28" s="2">
        <v>4500</v>
      </c>
      <c r="E28" s="2" t="str">
        <f t="shared" si="1"/>
        <v>裘卡60</v>
      </c>
      <c r="F28" s="2" t="s">
        <v>50</v>
      </c>
    </row>
    <row r="29" spans="1:6">
      <c r="A29" s="2" t="s">
        <v>80</v>
      </c>
      <c r="B29" s="2" t="s">
        <v>28</v>
      </c>
      <c r="C29" s="2">
        <v>60</v>
      </c>
      <c r="D29" s="2">
        <v>4500</v>
      </c>
      <c r="E29" s="2" t="str">
        <f t="shared" si="1"/>
        <v>厉毒修萝60</v>
      </c>
      <c r="F29" s="2" t="s">
        <v>50</v>
      </c>
    </row>
    <row r="30" spans="1:6">
      <c r="A30" s="2" t="s">
        <v>81</v>
      </c>
      <c r="B30" s="2" t="s">
        <v>82</v>
      </c>
      <c r="C30" s="2">
        <v>60</v>
      </c>
      <c r="D30" s="2">
        <v>4500</v>
      </c>
      <c r="E30" s="2" t="str">
        <f t="shared" si="1"/>
        <v>电球咩咩60</v>
      </c>
      <c r="F30" s="2" t="s">
        <v>48</v>
      </c>
    </row>
    <row r="31" spans="1:6">
      <c r="A31" s="2" t="s">
        <v>83</v>
      </c>
      <c r="B31" s="2" t="s">
        <v>82</v>
      </c>
      <c r="C31" s="2">
        <v>60</v>
      </c>
      <c r="D31" s="2">
        <v>4500</v>
      </c>
      <c r="E31" s="2" t="str">
        <f t="shared" si="1"/>
        <v>星光狮60</v>
      </c>
      <c r="F31" s="2" t="s">
        <v>48</v>
      </c>
    </row>
    <row r="32" spans="1:6">
      <c r="A32" s="2" t="s">
        <v>84</v>
      </c>
      <c r="B32" s="2" t="s">
        <v>82</v>
      </c>
      <c r="C32" s="2">
        <v>60</v>
      </c>
      <c r="D32" s="2">
        <v>4500</v>
      </c>
      <c r="E32" s="2" t="str">
        <f t="shared" si="1"/>
        <v>酷拉60</v>
      </c>
      <c r="F32" s="2" t="s">
        <v>48</v>
      </c>
    </row>
    <row r="33" spans="1:6">
      <c r="A33" s="2" t="s">
        <v>85</v>
      </c>
      <c r="B33" s="2" t="s">
        <v>82</v>
      </c>
      <c r="C33" s="2">
        <v>60</v>
      </c>
      <c r="D33" s="2">
        <v>4500</v>
      </c>
      <c r="E33" s="2" t="str">
        <f t="shared" si="1"/>
        <v>噼啪鸟60</v>
      </c>
      <c r="F33" s="2" t="s">
        <v>50</v>
      </c>
    </row>
    <row r="34" spans="1:6">
      <c r="A34" s="2" t="s">
        <v>86</v>
      </c>
      <c r="B34" s="2" t="s">
        <v>87</v>
      </c>
      <c r="C34" s="2">
        <v>80</v>
      </c>
      <c r="D34" s="2">
        <v>6000</v>
      </c>
      <c r="E34" s="2" t="str">
        <f t="shared" si="1"/>
        <v>罗隐80</v>
      </c>
      <c r="F34" s="2" t="s">
        <v>48</v>
      </c>
    </row>
    <row r="35" spans="1:6">
      <c r="A35" s="2" t="s">
        <v>88</v>
      </c>
      <c r="B35" s="2" t="s">
        <v>87</v>
      </c>
      <c r="C35" s="2">
        <v>60</v>
      </c>
      <c r="D35" s="2">
        <v>4500</v>
      </c>
      <c r="E35" s="2" t="str">
        <f t="shared" si="1"/>
        <v>泥吼牙60</v>
      </c>
      <c r="F35" s="2" t="s">
        <v>48</v>
      </c>
    </row>
    <row r="36" spans="1:6">
      <c r="A36" s="2" t="s">
        <v>89</v>
      </c>
      <c r="B36" s="2" t="s">
        <v>87</v>
      </c>
      <c r="C36" s="2">
        <v>60</v>
      </c>
      <c r="D36" s="2">
        <v>4500</v>
      </c>
      <c r="E36" s="2" t="str">
        <f t="shared" si="1"/>
        <v>绒光优优60</v>
      </c>
      <c r="F36" s="2" t="s">
        <v>48</v>
      </c>
    </row>
    <row r="37" spans="1:6">
      <c r="A37" s="2" t="s">
        <v>90</v>
      </c>
      <c r="B37" s="2" t="s">
        <v>21</v>
      </c>
      <c r="C37" s="2">
        <v>60</v>
      </c>
      <c r="D37" s="2">
        <v>4500</v>
      </c>
      <c r="E37" s="2" t="str">
        <f t="shared" si="1"/>
        <v>铠甲虫60</v>
      </c>
      <c r="F37" s="2" t="s">
        <v>48</v>
      </c>
    </row>
    <row r="38" spans="1:6">
      <c r="A38" s="2" t="s">
        <v>91</v>
      </c>
      <c r="B38" s="2" t="s">
        <v>21</v>
      </c>
      <c r="C38" s="2">
        <v>60</v>
      </c>
      <c r="D38" s="2">
        <v>4500</v>
      </c>
      <c r="E38" s="2" t="str">
        <f t="shared" si="1"/>
        <v>化蝶60</v>
      </c>
      <c r="F38" s="2" t="s">
        <v>48</v>
      </c>
    </row>
    <row r="39" spans="1:6">
      <c r="A39" s="2" t="s">
        <v>92</v>
      </c>
      <c r="B39" s="2" t="s">
        <v>21</v>
      </c>
      <c r="C39" s="2">
        <v>60</v>
      </c>
      <c r="D39" s="2">
        <v>4500</v>
      </c>
      <c r="E39" s="2" t="str">
        <f t="shared" si="1"/>
        <v>花衣蝶60</v>
      </c>
      <c r="F39" s="2" t="s">
        <v>48</v>
      </c>
    </row>
    <row r="40" spans="1:6">
      <c r="A40" s="2" t="s">
        <v>93</v>
      </c>
      <c r="B40" s="2" t="s">
        <v>21</v>
      </c>
      <c r="C40" s="2">
        <v>60</v>
      </c>
      <c r="D40" s="2">
        <v>4500</v>
      </c>
      <c r="E40" s="2" t="str">
        <f t="shared" si="1"/>
        <v>恶魔红钻60</v>
      </c>
      <c r="F40" s="2" t="s">
        <v>48</v>
      </c>
    </row>
    <row r="41" spans="1:6">
      <c r="A41" s="2" t="s">
        <v>94</v>
      </c>
      <c r="B41" s="2" t="s">
        <v>21</v>
      </c>
      <c r="C41" s="2">
        <v>60</v>
      </c>
      <c r="D41" s="2">
        <v>4500</v>
      </c>
      <c r="E41" s="2" t="str">
        <f t="shared" ref="E41:E47" si="2">A41&amp;C41</f>
        <v>芋香巨角蛛60</v>
      </c>
      <c r="F41" s="2" t="s">
        <v>48</v>
      </c>
    </row>
    <row r="42" spans="1:6">
      <c r="A42" s="2" t="s">
        <v>95</v>
      </c>
      <c r="B42" s="2" t="s">
        <v>96</v>
      </c>
      <c r="C42" s="2">
        <v>60</v>
      </c>
      <c r="D42" s="2">
        <v>4500</v>
      </c>
      <c r="E42" s="2" t="str">
        <f t="shared" si="2"/>
        <v>奇丽花60</v>
      </c>
      <c r="F42" s="2" t="s">
        <v>48</v>
      </c>
    </row>
    <row r="43" spans="1:6">
      <c r="A43" s="2" t="s">
        <v>97</v>
      </c>
      <c r="B43" s="2" t="s">
        <v>96</v>
      </c>
      <c r="C43" s="2">
        <v>60</v>
      </c>
      <c r="D43" s="2">
        <v>4500</v>
      </c>
      <c r="E43" s="2" t="str">
        <f t="shared" si="2"/>
        <v>蹦蹦花60</v>
      </c>
      <c r="F43" s="2" t="s">
        <v>48</v>
      </c>
    </row>
    <row r="44" spans="1:6">
      <c r="A44" s="2" t="s">
        <v>98</v>
      </c>
      <c r="B44" s="2" t="s">
        <v>99</v>
      </c>
      <c r="C44" s="2">
        <v>80</v>
      </c>
      <c r="D44" s="2">
        <v>6000</v>
      </c>
      <c r="E44" s="2" t="str">
        <f t="shared" si="2"/>
        <v>冰钻布鲁斯80</v>
      </c>
      <c r="F44" s="2" t="s">
        <v>50</v>
      </c>
    </row>
    <row r="45" spans="1:6">
      <c r="A45" s="2" t="s">
        <v>100</v>
      </c>
      <c r="B45" s="2" t="s">
        <v>99</v>
      </c>
      <c r="C45" s="2">
        <v>80</v>
      </c>
      <c r="D45" s="2">
        <v>6000</v>
      </c>
      <c r="E45" s="2" t="str">
        <f t="shared" si="2"/>
        <v>电企鹅80</v>
      </c>
      <c r="F45" s="2" t="s">
        <v>48</v>
      </c>
    </row>
    <row r="46" spans="1:6">
      <c r="A46" s="2" t="s">
        <v>101</v>
      </c>
      <c r="B46" s="2" t="s">
        <v>99</v>
      </c>
      <c r="C46" s="2">
        <v>80</v>
      </c>
      <c r="D46" s="2">
        <v>6000</v>
      </c>
      <c r="E46" s="2" t="str">
        <f t="shared" si="2"/>
        <v>圣代甜甜80</v>
      </c>
      <c r="F46" s="2" t="s">
        <v>48</v>
      </c>
    </row>
    <row r="47" spans="1:6">
      <c r="A47" s="2" t="s">
        <v>102</v>
      </c>
      <c r="B47" s="2" t="s">
        <v>99</v>
      </c>
      <c r="C47" s="2">
        <v>60</v>
      </c>
      <c r="D47" s="2">
        <v>4500</v>
      </c>
      <c r="E47" s="2" t="str">
        <f t="shared" si="2"/>
        <v>月牙雪熊60</v>
      </c>
      <c r="F47" s="2" t="s">
        <v>72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高星光值精灵一览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jayegt002</dc:creator>
  <cp:lastModifiedBy>龙门鱼贩</cp:lastModifiedBy>
  <dcterms:created xsi:type="dcterms:W3CDTF">2026-09-08T04:46:00Z</dcterms:created>
  <dcterms:modified xsi:type="dcterms:W3CDTF">2026-09-07T16:27:14Z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9F511190C43322BAAC419E6A893330D9_41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1</vt:i4>
  </property>
</Properties>
</file>